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xuyalong\project\BR3109\br3109_demo\"/>
    </mc:Choice>
  </mc:AlternateContent>
  <xr:revisionPtr revIDLastSave="0" documentId="13_ncr:1_{CD467AA4-C094-40A7-98EB-F095C3B66C4F}" xr6:coauthVersionLast="47" xr6:coauthVersionMax="47" xr10:uidLastSave="{00000000-0000-0000-0000-000000000000}"/>
  <bookViews>
    <workbookView xWindow="4860" yWindow="4270" windowWidth="28800" windowHeight="15370" xr2:uid="{00000000-000D-0000-FFFF-FFFF00000000}"/>
  </bookViews>
  <sheets>
    <sheet name="H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H2" i="1"/>
  <c r="D2" i="1"/>
  <c r="C2" i="1"/>
  <c r="B2" i="1"/>
</calcChain>
</file>

<file path=xl/sharedStrings.xml><?xml version="1.0" encoding="utf-8"?>
<sst xmlns="http://schemas.openxmlformats.org/spreadsheetml/2006/main" count="22" uniqueCount="22">
  <si>
    <t>HEX数值</t>
  </si>
  <si>
    <t>Q路信号</t>
  </si>
  <si>
    <t>I路信号</t>
  </si>
  <si>
    <t>相位</t>
  </si>
  <si>
    <t>瞬时角频率</t>
  </si>
  <si>
    <t>采样率</t>
  </si>
  <si>
    <t>单音频率(MHz)</t>
  </si>
  <si>
    <t>8EA44CD6</t>
  </si>
  <si>
    <t>6DA37AD8</t>
  </si>
  <si>
    <t>7FA2CCDB</t>
  </si>
  <si>
    <t>E7A057DE</t>
  </si>
  <si>
    <t>D49F30E1</t>
  </si>
  <si>
    <t>419F36E4</t>
  </si>
  <si>
    <t>719E5BE7</t>
  </si>
  <si>
    <t>159E34EA</t>
  </si>
  <si>
    <t>479DB9ED</t>
  </si>
  <si>
    <t>C19C23F0</t>
  </si>
  <si>
    <t>D79B26F3</t>
  </si>
  <si>
    <t>999B7BF6</t>
  </si>
  <si>
    <t>5C9BB6F9</t>
  </si>
  <si>
    <t>7F9BA8FC</t>
  </si>
  <si>
    <t>209B80FF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</si>
</sst>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358140</xdr:colOff>
      <xdr:row>3</xdr:row>
      <xdr:rowOff>67310</xdr:rowOff>
    </xdr:from>
    <xdr:to>
      <xdr:col>17</xdr:col>
      <xdr:colOff>294005</xdr:colOff>
      <xdr:row>37</xdr:row>
      <xdr:rowOff>126365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290" y="600710"/>
          <a:ext cx="6997065" cy="6104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H2" sqref="H2"/>
    </sheetView>
  </sheetViews>
  <sheetFormatPr defaultColWidth="8.81640625" defaultRowHeight="14" x14ac:dyDescent="0.25"/>
  <cols>
    <col min="1" max="1" width="11.81640625" customWidth="1"/>
    <col min="4" max="5" width="14.08984375"/>
    <col min="6" max="6" width="14.08984375" customWidth="1"/>
    <col min="7" max="7" width="7.6328125" customWidth="1"/>
    <col min="8" max="8" width="14.08984375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2" t="s">
        <v>6</v>
      </c>
    </row>
    <row r="2" spans="1:8" x14ac:dyDescent="0.25">
      <c r="A2" s="5" t="s">
        <v>7</v>
      </c>
      <c r="B2" s="3">
        <f>IF(HEX2DEC(MID(A2,7,2)&amp;MID(A2,5,2))&gt;=32768,HEX2DEC(MID(A2,7,2)&amp;MID(A2,5,2))-65536,HEX2DEC(MID(A2,7,2)&amp;MID(A2,5,2)))</f>
        <v>-10676</v>
      </c>
      <c r="C2" s="3">
        <f>IF(HEX2DEC(MID(A2,3,2)&amp;MID(A2,1,2))&gt;=32768,HEX2DEC(MID(A2,3,2)&amp;MID(A2,1,2))-65536,HEX2DEC(MID(A2,3,2)&amp;MID(A2,1,2)))</f>
        <v>-23410</v>
      </c>
      <c r="D2">
        <f>MOD(ATAN2(B2,C2),2*PI())</f>
        <v>4.2845198911895803</v>
      </c>
      <c r="G2">
        <v>245.76</v>
      </c>
      <c r="H2" s="4">
        <f>AVERAGE(E3:E16)/(2*PI()/G2)</f>
        <v>1.1815546572893201</v>
      </c>
    </row>
    <row r="3" spans="1:8" x14ac:dyDescent="0.25">
      <c r="A3" s="5" t="s">
        <v>8</v>
      </c>
      <c r="B3" s="3">
        <f t="shared" ref="B3:B16" si="0">IF(HEX2DEC(MID(A3,7,2)&amp;MID(A3,5,2))&gt;=32768,HEX2DEC(MID(A3,7,2)&amp;MID(A3,5,2))-65536,HEX2DEC(MID(A3,7,2)&amp;MID(A3,5,2)))</f>
        <v>-10118</v>
      </c>
      <c r="C3" s="3">
        <f t="shared" ref="C3:C16" si="1">IF(HEX2DEC(MID(A3,3,2)&amp;MID(A3,1,2))&gt;=32768,HEX2DEC(MID(A3,3,2)&amp;MID(A3,1,2))-65536,HEX2DEC(MID(A3,3,2)&amp;MID(A3,1,2)))</f>
        <v>-23699</v>
      </c>
      <c r="D3">
        <f t="shared" ref="D3:D16" si="2">MOD(ATAN2(B3,C3),2*PI())</f>
        <v>4.3088781060510799</v>
      </c>
      <c r="E3">
        <f>D3-D2</f>
        <v>2.4358214861502199E-2</v>
      </c>
    </row>
    <row r="4" spans="1:8" x14ac:dyDescent="0.25">
      <c r="A4" s="5" t="s">
        <v>9</v>
      </c>
      <c r="B4" s="3">
        <f t="shared" si="0"/>
        <v>-9268</v>
      </c>
      <c r="C4" s="3">
        <f t="shared" si="1"/>
        <v>-23937</v>
      </c>
      <c r="D4">
        <f t="shared" si="2"/>
        <v>4.3429803165290499</v>
      </c>
      <c r="E4">
        <f t="shared" ref="E4:E16" si="3">D4-D3</f>
        <v>3.4102210477969998E-2</v>
      </c>
    </row>
    <row r="5" spans="1:8" x14ac:dyDescent="0.25">
      <c r="A5" s="5" t="s">
        <v>10</v>
      </c>
      <c r="B5" s="3">
        <f t="shared" si="0"/>
        <v>-8617</v>
      </c>
      <c r="C5" s="3">
        <f t="shared" si="1"/>
        <v>-24345</v>
      </c>
      <c r="D5">
        <f t="shared" si="2"/>
        <v>4.3721963882971897</v>
      </c>
      <c r="E5">
        <f t="shared" si="3"/>
        <v>2.9216071768133602E-2</v>
      </c>
    </row>
    <row r="6" spans="1:8" x14ac:dyDescent="0.25">
      <c r="A6" s="5" t="s">
        <v>11</v>
      </c>
      <c r="B6" s="3">
        <f t="shared" si="0"/>
        <v>-7888</v>
      </c>
      <c r="C6" s="3">
        <f t="shared" si="1"/>
        <v>-24620</v>
      </c>
      <c r="D6">
        <f t="shared" si="2"/>
        <v>4.4023323686224796</v>
      </c>
      <c r="E6">
        <f t="shared" si="3"/>
        <v>3.0135980325291599E-2</v>
      </c>
    </row>
    <row r="7" spans="1:8" x14ac:dyDescent="0.25">
      <c r="A7" s="5" t="s">
        <v>12</v>
      </c>
      <c r="B7" s="3">
        <f t="shared" si="0"/>
        <v>-7114</v>
      </c>
      <c r="C7" s="3">
        <f t="shared" si="1"/>
        <v>-24767</v>
      </c>
      <c r="D7">
        <f t="shared" si="2"/>
        <v>4.4326820503372701</v>
      </c>
      <c r="E7">
        <f t="shared" si="3"/>
        <v>3.03496817147915E-2</v>
      </c>
    </row>
    <row r="8" spans="1:8" x14ac:dyDescent="0.25">
      <c r="A8" s="5" t="s">
        <v>13</v>
      </c>
      <c r="B8" s="3">
        <f t="shared" si="0"/>
        <v>-6309</v>
      </c>
      <c r="C8" s="3">
        <f t="shared" si="1"/>
        <v>-24975</v>
      </c>
      <c r="D8">
        <f t="shared" si="2"/>
        <v>4.4649529033417101</v>
      </c>
      <c r="E8">
        <f t="shared" si="3"/>
        <v>3.2270853004436398E-2</v>
      </c>
    </row>
    <row r="9" spans="1:8" x14ac:dyDescent="0.25">
      <c r="A9" s="5" t="s">
        <v>14</v>
      </c>
      <c r="B9" s="3">
        <f t="shared" si="0"/>
        <v>-5580</v>
      </c>
      <c r="C9" s="3">
        <f t="shared" si="1"/>
        <v>-25067</v>
      </c>
      <c r="D9">
        <f t="shared" si="2"/>
        <v>4.4933568020959802</v>
      </c>
      <c r="E9">
        <f t="shared" si="3"/>
        <v>2.8403898754271899E-2</v>
      </c>
    </row>
    <row r="10" spans="1:8" x14ac:dyDescent="0.25">
      <c r="A10" s="5" t="s">
        <v>15</v>
      </c>
      <c r="B10" s="3">
        <f t="shared" si="0"/>
        <v>-4679</v>
      </c>
      <c r="C10" s="3">
        <f t="shared" si="1"/>
        <v>-25273</v>
      </c>
      <c r="D10">
        <f t="shared" si="2"/>
        <v>4.5293235039291799</v>
      </c>
      <c r="E10">
        <f t="shared" si="3"/>
        <v>3.5966701833205099E-2</v>
      </c>
    </row>
    <row r="11" spans="1:8" x14ac:dyDescent="0.25">
      <c r="A11" s="5" t="s">
        <v>16</v>
      </c>
      <c r="B11" s="3">
        <f t="shared" si="0"/>
        <v>-4061</v>
      </c>
      <c r="C11" s="3">
        <f t="shared" si="1"/>
        <v>-25407</v>
      </c>
      <c r="D11">
        <f t="shared" si="2"/>
        <v>4.5538918345552597</v>
      </c>
      <c r="E11">
        <f t="shared" si="3"/>
        <v>2.45683306260744E-2</v>
      </c>
    </row>
    <row r="12" spans="1:8" x14ac:dyDescent="0.25">
      <c r="A12" s="5" t="s">
        <v>17</v>
      </c>
      <c r="B12" s="3">
        <f t="shared" si="0"/>
        <v>-3290</v>
      </c>
      <c r="C12" s="3">
        <f t="shared" si="1"/>
        <v>-25641</v>
      </c>
      <c r="D12">
        <f t="shared" si="2"/>
        <v>4.5847761213647598</v>
      </c>
      <c r="E12">
        <f t="shared" si="3"/>
        <v>3.0884286809502701E-2</v>
      </c>
    </row>
    <row r="13" spans="1:8" x14ac:dyDescent="0.25">
      <c r="A13" s="5" t="s">
        <v>18</v>
      </c>
      <c r="B13" s="3">
        <f t="shared" si="0"/>
        <v>-2437</v>
      </c>
      <c r="C13" s="3">
        <f t="shared" si="1"/>
        <v>-25703</v>
      </c>
      <c r="D13">
        <f t="shared" si="2"/>
        <v>4.6178577375552496</v>
      </c>
      <c r="E13">
        <f t="shared" si="3"/>
        <v>3.30816161904934E-2</v>
      </c>
    </row>
    <row r="14" spans="1:8" x14ac:dyDescent="0.25">
      <c r="A14" s="5" t="s">
        <v>19</v>
      </c>
      <c r="B14" s="3">
        <f t="shared" si="0"/>
        <v>-1610</v>
      </c>
      <c r="C14" s="3">
        <f t="shared" si="1"/>
        <v>-25764</v>
      </c>
      <c r="D14">
        <f t="shared" si="2"/>
        <v>4.6499798361001003</v>
      </c>
      <c r="E14">
        <f t="shared" si="3"/>
        <v>3.2122098544848897E-2</v>
      </c>
    </row>
    <row r="15" spans="1:8" x14ac:dyDescent="0.25">
      <c r="A15" s="5" t="s">
        <v>20</v>
      </c>
      <c r="B15" s="3">
        <f t="shared" si="0"/>
        <v>-856</v>
      </c>
      <c r="C15" s="3">
        <f t="shared" si="1"/>
        <v>-25729</v>
      </c>
      <c r="D15">
        <f t="shared" si="2"/>
        <v>4.6791313963755101</v>
      </c>
      <c r="E15">
        <f t="shared" si="3"/>
        <v>2.9151560275402701E-2</v>
      </c>
    </row>
    <row r="16" spans="1:8" x14ac:dyDescent="0.25">
      <c r="A16" s="5" t="s">
        <v>21</v>
      </c>
      <c r="B16" s="3">
        <f t="shared" si="0"/>
        <v>-128</v>
      </c>
      <c r="C16" s="3">
        <f t="shared" si="1"/>
        <v>-25824</v>
      </c>
      <c r="D16">
        <f t="shared" si="2"/>
        <v>4.7074323914839296</v>
      </c>
      <c r="E16">
        <f t="shared" si="3"/>
        <v>2.8300995108421202E-2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Yalong Xu</cp:lastModifiedBy>
  <dcterms:created xsi:type="dcterms:W3CDTF">2026-01-13T12:16:03Z</dcterms:created>
  <dcterms:modified xsi:type="dcterms:W3CDTF">2026-01-14T07:04:58Z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84B533D776544272BCB95A95E1A1864A_11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